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vepccuedu-my.sharepoint.com/personal/wfx2_ulive_pccu_edu_tw/Documents/就業學程/114/"/>
    </mc:Choice>
  </mc:AlternateContent>
  <xr:revisionPtr revIDLastSave="81" documentId="8_{CDE1C32D-8E43-4FB6-8426-453AE2CEF92B}" xr6:coauthVersionLast="47" xr6:coauthVersionMax="47" xr10:uidLastSave="{11F4C10A-F551-407E-9E9C-CC66F4E9E743}"/>
  <bookViews>
    <workbookView xWindow="-110" yWindow="-110" windowWidth="19420" windowHeight="10300" xr2:uid="{305392C6-4F2C-4353-AFBA-A490EF625DDC}"/>
  </bookViews>
  <sheets>
    <sheet name="工作表1" sheetId="1" r:id="rId1"/>
    <sheet name="工作表4" sheetId="5" r:id="rId2"/>
    <sheet name="工作表3" sheetId="3" r:id="rId3"/>
    <sheet name="工作表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" i="3"/>
  <c r="L10" i="1"/>
  <c r="M10" i="1" s="1"/>
  <c r="L11" i="1"/>
  <c r="M11" i="1" s="1"/>
  <c r="L12" i="1"/>
  <c r="M12" i="1" s="1"/>
  <c r="L13" i="1"/>
  <c r="M13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4" i="1"/>
  <c r="M14" i="1" s="1"/>
  <c r="L15" i="1"/>
  <c r="M15" i="1" s="1"/>
  <c r="L16" i="1"/>
  <c r="M16" i="1" s="1"/>
  <c r="L17" i="1"/>
  <c r="M17" i="1" s="1"/>
  <c r="L18" i="1"/>
  <c r="M18" i="1" s="1"/>
</calcChain>
</file>

<file path=xl/sharedStrings.xml><?xml version="1.0" encoding="utf-8"?>
<sst xmlns="http://schemas.openxmlformats.org/spreadsheetml/2006/main" count="250" uniqueCount="119">
  <si>
    <t>學號</t>
  </si>
  <si>
    <t>姓名</t>
  </si>
  <si>
    <t>資管系 3B</t>
  </si>
  <si>
    <t>B2201483</t>
  </si>
  <si>
    <t>楊紹緯</t>
  </si>
  <si>
    <t>B2213813</t>
  </si>
  <si>
    <t>劉翰襄</t>
  </si>
  <si>
    <t>資管系 4A</t>
  </si>
  <si>
    <t>B1202516</t>
  </si>
  <si>
    <t>陳宥叡</t>
  </si>
  <si>
    <t>B1202532</t>
  </si>
  <si>
    <t>林士凱</t>
  </si>
  <si>
    <t>B1221821</t>
  </si>
  <si>
    <t>徐瑋柏</t>
  </si>
  <si>
    <t>B1221839</t>
  </si>
  <si>
    <t>黃冠綸</t>
  </si>
  <si>
    <t>B1221847</t>
  </si>
  <si>
    <t>呂佩恩</t>
  </si>
  <si>
    <t>B1221863</t>
  </si>
  <si>
    <t>廖芳邑</t>
  </si>
  <si>
    <t>B1221936</t>
  </si>
  <si>
    <t>莊隆盛</t>
  </si>
  <si>
    <t>B1221944</t>
  </si>
  <si>
    <t>劉家暘</t>
  </si>
  <si>
    <t>B1221987</t>
  </si>
  <si>
    <t>李品鋒</t>
  </si>
  <si>
    <t>B1221995</t>
  </si>
  <si>
    <t>林芷暄</t>
  </si>
  <si>
    <t>B1410739</t>
  </si>
  <si>
    <t>張育齊</t>
  </si>
  <si>
    <t>資管系 4B</t>
  </si>
  <si>
    <t>A9226209</t>
  </si>
  <si>
    <t>陳必堯</t>
  </si>
  <si>
    <t>B1222151</t>
  </si>
  <si>
    <t>陳伃豊</t>
  </si>
  <si>
    <t>B3402059</t>
  </si>
  <si>
    <t>司毓文</t>
  </si>
  <si>
    <t>序號</t>
    <phoneticPr fontId="1" type="noConversion"/>
  </si>
  <si>
    <t>累計週數</t>
    <phoneticPr fontId="1" type="noConversion"/>
  </si>
  <si>
    <t>欄1</t>
  </si>
  <si>
    <t>欄2</t>
  </si>
  <si>
    <t>欄3</t>
  </si>
  <si>
    <t>勞動法令(計3週)</t>
  </si>
  <si>
    <t>欄6</t>
  </si>
  <si>
    <t>B1222070</t>
  </si>
  <si>
    <t>B1222169</t>
  </si>
  <si>
    <t>原始排序</t>
  </si>
  <si>
    <t>張恆睿</t>
  </si>
  <si>
    <t>王方岑</t>
  </si>
  <si>
    <t>資管系3B</t>
  </si>
  <si>
    <t>資管系4A</t>
  </si>
  <si>
    <t>資管系4B</t>
  </si>
  <si>
    <t>B4102431</t>
  </si>
  <si>
    <t>B4105627</t>
  </si>
  <si>
    <t>B4105651</t>
  </si>
  <si>
    <t>B4105660</t>
  </si>
  <si>
    <t>UBIMD 資管系</t>
  </si>
  <si>
    <t>4B</t>
  </si>
  <si>
    <t>司毓文 (F)</t>
  </si>
  <si>
    <t>Email</t>
  </si>
  <si>
    <t>Email #2</t>
  </si>
  <si>
    <t>資管碩 1</t>
  </si>
  <si>
    <t>鄭硯宇</t>
  </si>
  <si>
    <t>B4102431@ulive.pccu.edu.tw</t>
  </si>
  <si>
    <t>ryandotcheng@gmail.com</t>
  </si>
  <si>
    <t>陳昱昊</t>
  </si>
  <si>
    <t>B4105627@ulive.pccu.edu.tw</t>
  </si>
  <si>
    <t>howard030901@gmail.com</t>
  </si>
  <si>
    <t>葉祐綸</t>
  </si>
  <si>
    <t>B4105651@ulive.pccu.edu.tw</t>
  </si>
  <si>
    <t>a0978551339@gmail.com</t>
  </si>
  <si>
    <t>葉祐銓</t>
  </si>
  <si>
    <t>B4105660@ulive.pccu.edu.tw</t>
  </si>
  <si>
    <t>blast920624mnt@gmail.com</t>
  </si>
  <si>
    <t>B2201483@ulive.pccu.edu.tw</t>
  </si>
  <si>
    <t>041012tabao@gmail.com</t>
  </si>
  <si>
    <t>B2213813@ulive.pccu.edu.tw</t>
  </si>
  <si>
    <t>5fenggan4@gmail.com</t>
  </si>
  <si>
    <t>B1202516@ulive.pccu.edu.tw</t>
  </si>
  <si>
    <t>rex20040811@gmail.com</t>
  </si>
  <si>
    <t>B1202532@ulive.pccu.edu.tw</t>
  </si>
  <si>
    <t>skylin.car@gmail.com</t>
  </si>
  <si>
    <t>B1221821@ulive.pccu.edu.tw</t>
  </si>
  <si>
    <t>xd90025@gmail.com</t>
  </si>
  <si>
    <t>B1221839@ulive.pccu.edu.tw</t>
  </si>
  <si>
    <t>allen200493@gmail.com</t>
  </si>
  <si>
    <t>B1221847@ulive.pccu.edu.tw</t>
  </si>
  <si>
    <t>peniii1218@gmail.com</t>
  </si>
  <si>
    <t>B1221936@ulive.pccu.edu.tw</t>
  </si>
  <si>
    <t>a31779373@gmail.com</t>
  </si>
  <si>
    <t>B1221944@ulive.pccu.edu.tw</t>
  </si>
  <si>
    <t>liuy2566@gmail.com</t>
  </si>
  <si>
    <t>B1221987@ulive.pccu.edu.tw</t>
  </si>
  <si>
    <t>peter0902440639@gmail.com</t>
  </si>
  <si>
    <t>B1221995@ulive.pccu.edu.tw</t>
  </si>
  <si>
    <t>kelly920812@gmail.com</t>
  </si>
  <si>
    <t>A9226209@ulive.pccu.edu.tw</t>
  </si>
  <si>
    <t>hank0302168@gmail.com</t>
  </si>
  <si>
    <t>B1222070@ulive.pccu.edu.tw</t>
  </si>
  <si>
    <t>chyhs2016@gmail.com</t>
  </si>
  <si>
    <t>B1222151@ulive.pccu.edu.tw</t>
  </si>
  <si>
    <t>b921024@gmail.com</t>
  </si>
  <si>
    <t>B1222169@ulive.pccu.edu.tw</t>
  </si>
  <si>
    <t>fangcen77@gmail.com</t>
  </si>
  <si>
    <t>B3402059@ulive.pccu.edu.tw</t>
  </si>
  <si>
    <t>ak840206@gmail.com</t>
  </si>
  <si>
    <t>3月11日(系演講後)</t>
    <phoneticPr fontId="1" type="noConversion"/>
  </si>
  <si>
    <t>5月6日(系演講後)</t>
    <phoneticPr fontId="1" type="noConversion"/>
  </si>
  <si>
    <t>價值概念與成本意識(計3週)</t>
    <phoneticPr fontId="1" type="noConversion"/>
  </si>
  <si>
    <t>3月13日</t>
    <phoneticPr fontId="1" type="noConversion"/>
  </si>
  <si>
    <t>問題辨識與分析解決(計3週)</t>
    <phoneticPr fontId="1" type="noConversion"/>
  </si>
  <si>
    <t>3月27日</t>
    <phoneticPr fontId="1" type="noConversion"/>
  </si>
  <si>
    <t>4月17日</t>
    <phoneticPr fontId="1" type="noConversion"/>
  </si>
  <si>
    <t>環境演變與學習創新(計3週)</t>
    <phoneticPr fontId="1" type="noConversion"/>
  </si>
  <si>
    <t>4月10日</t>
    <phoneticPr fontId="1" type="noConversion"/>
  </si>
  <si>
    <t>職場倫理(計3週)</t>
    <phoneticPr fontId="1" type="noConversion"/>
  </si>
  <si>
    <t>達12週</t>
    <phoneticPr fontId="1" type="noConversion"/>
  </si>
  <si>
    <t>達標</t>
    <phoneticPr fontId="1" type="noConversion"/>
  </si>
  <si>
    <t>5月8日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</si>
</sst>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4" xfId="0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一般" xfId="0" builtinId="0"/>
  </cellStyles>
  <dxfs count="1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m&quot;月&quot;d&quot;日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CB037E-795D-4700-8532-96A6C7A3D541}" name="表格3" displayName="表格3" ref="A1:M18" totalsRowShown="0" headerRowDxfId="2" dataDxfId="16" headerRowBorderDxfId="17" tableBorderDxfId="15" totalsRowBorderDxfId="14">
  <tableColumns count="13">
    <tableColumn id="1" xr3:uid="{3B99D6EC-29BB-4824-96D8-5332969918BB}" name="欄1" dataDxfId="13"/>
    <tableColumn id="2" xr3:uid="{4A2C408C-7947-4B3C-A03A-D51D9F624D18}" name="欄2" dataDxfId="12"/>
    <tableColumn id="3" xr3:uid="{E994100D-00D7-482D-8353-06F070BE6145}" name="欄3" dataDxfId="11"/>
    <tableColumn id="4" xr3:uid="{4B463B9F-BB3F-467F-A584-1B42E6907773}" name="欄6" dataDxfId="10"/>
    <tableColumn id="5" xr3:uid="{D86F4BBE-97C5-43D9-A4D3-2A5C1190C9D6}" name="3月11日(系演講後)" dataDxfId="9"/>
    <tableColumn id="6" xr3:uid="{928BB45B-FE76-462A-8678-527A1286A998}" name="3月13日" dataDxfId="8"/>
    <tableColumn id="7" xr3:uid="{8D7505AA-71CA-45D1-ABED-5278B202FA34}" name="3月27日" dataDxfId="7"/>
    <tableColumn id="9" xr3:uid="{49C1A5F4-65D3-41CF-9698-F75D65B81B6A}" name="4月10日" dataDxfId="1"/>
    <tableColumn id="8" xr3:uid="{6A6A7465-85EE-4CCE-B410-278DF83F17E6}" name="4月17日" dataDxfId="6"/>
    <tableColumn id="10" xr3:uid="{65751155-78CB-4656-B56E-E4983693B519}" name="5月6日(系演講後)" dataDxfId="5"/>
    <tableColumn id="17" xr3:uid="{F1958FA3-9B9C-4E69-91DC-627AAB6960FC}" name="5月8日" dataDxfId="0"/>
    <tableColumn id="13" xr3:uid="{E3C326C9-8309-4755-8D71-500FC053BE9B}" name="累計週數" dataDxfId="4">
      <calculatedColumnFormula>SUM(E2:J2)</calculatedColumnFormula>
    </tableColumn>
    <tableColumn id="14" xr3:uid="{C4296CF6-C6A7-4ECE-B936-C8A1A8B4FE6C}" name="達標" dataDxfId="3">
      <calculatedColumnFormula>IF(L2&gt;12,"是","否")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6C54-4C9F-4023-9935-DE11D253A0BD}">
  <dimension ref="A1:O18"/>
  <sheetViews>
    <sheetView tabSelected="1" zoomScale="60" zoomScaleNormal="6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2" sqref="H2"/>
    </sheetView>
  </sheetViews>
  <sheetFormatPr defaultColWidth="8.7265625" defaultRowHeight="17" x14ac:dyDescent="0.4"/>
  <cols>
    <col min="1" max="1" width="6" style="1" customWidth="1"/>
    <col min="2" max="2" width="0" style="1" hidden="1" customWidth="1"/>
    <col min="3" max="3" width="10.453125" style="1" customWidth="1"/>
    <col min="4" max="4" width="8.7265625" style="1"/>
    <col min="5" max="5" width="10.453125" style="1" customWidth="1"/>
    <col min="6" max="8" width="10.6328125" style="1" customWidth="1"/>
    <col min="9" max="11" width="11.08984375" style="1" customWidth="1"/>
    <col min="12" max="12" width="6.90625" style="1" customWidth="1"/>
    <col min="13" max="13" width="8" style="1" customWidth="1"/>
    <col min="14" max="16384" width="8.7265625" style="1"/>
  </cols>
  <sheetData>
    <row r="1" spans="1:13" s="4" customFormat="1" ht="62" customHeight="1" x14ac:dyDescent="0.4">
      <c r="A1" s="12" t="s">
        <v>39</v>
      </c>
      <c r="B1" s="10" t="s">
        <v>40</v>
      </c>
      <c r="C1" s="10" t="s">
        <v>41</v>
      </c>
      <c r="D1" s="10" t="s">
        <v>43</v>
      </c>
      <c r="E1" s="13" t="s">
        <v>106</v>
      </c>
      <c r="F1" s="13" t="s">
        <v>109</v>
      </c>
      <c r="G1" s="13" t="s">
        <v>111</v>
      </c>
      <c r="H1" s="13" t="s">
        <v>114</v>
      </c>
      <c r="I1" s="5" t="s">
        <v>112</v>
      </c>
      <c r="J1" s="13" t="s">
        <v>107</v>
      </c>
      <c r="K1" s="13" t="s">
        <v>118</v>
      </c>
      <c r="L1" s="3" t="s">
        <v>38</v>
      </c>
      <c r="M1" s="7" t="s">
        <v>117</v>
      </c>
    </row>
    <row r="2" spans="1:13" s="4" customFormat="1" ht="64" customHeight="1" x14ac:dyDescent="0.4">
      <c r="A2" s="6" t="s">
        <v>37</v>
      </c>
      <c r="B2" s="2"/>
      <c r="C2" s="2" t="s">
        <v>0</v>
      </c>
      <c r="D2" s="2" t="s">
        <v>1</v>
      </c>
      <c r="E2" s="5" t="s">
        <v>42</v>
      </c>
      <c r="F2" s="5" t="s">
        <v>108</v>
      </c>
      <c r="G2" s="5" t="s">
        <v>110</v>
      </c>
      <c r="H2" s="5" t="s">
        <v>113</v>
      </c>
      <c r="I2" s="5" t="s">
        <v>115</v>
      </c>
      <c r="J2" s="5" t="s">
        <v>42</v>
      </c>
      <c r="K2" s="5" t="s">
        <v>115</v>
      </c>
      <c r="L2" s="9"/>
      <c r="M2" s="14" t="s">
        <v>116</v>
      </c>
    </row>
    <row r="3" spans="1:13" x14ac:dyDescent="0.4">
      <c r="A3" s="6">
        <v>1</v>
      </c>
      <c r="B3" s="2" t="s">
        <v>2</v>
      </c>
      <c r="C3" s="2" t="s">
        <v>3</v>
      </c>
      <c r="D3" s="2" t="s">
        <v>4</v>
      </c>
      <c r="E3" s="2"/>
      <c r="F3" s="2"/>
      <c r="G3" s="2"/>
      <c r="H3" s="2"/>
      <c r="I3" s="2"/>
      <c r="J3" s="2"/>
      <c r="K3" s="2"/>
      <c r="L3" s="2">
        <f>SUM(E3:J3)</f>
        <v>0</v>
      </c>
      <c r="M3" s="8" t="str">
        <f>IF(L3&gt;=12,"是","否")</f>
        <v>否</v>
      </c>
    </row>
    <row r="4" spans="1:13" x14ac:dyDescent="0.4">
      <c r="A4" s="6">
        <v>2</v>
      </c>
      <c r="B4" s="2" t="s">
        <v>2</v>
      </c>
      <c r="C4" s="2" t="s">
        <v>5</v>
      </c>
      <c r="D4" s="2" t="s">
        <v>6</v>
      </c>
      <c r="E4" s="2"/>
      <c r="F4" s="2"/>
      <c r="G4" s="2"/>
      <c r="H4" s="2"/>
      <c r="I4" s="2"/>
      <c r="J4" s="2"/>
      <c r="K4" s="2"/>
      <c r="L4" s="2">
        <f>SUM(E4:J4)</f>
        <v>0</v>
      </c>
      <c r="M4" s="8" t="str">
        <f t="shared" ref="M4:M18" si="0">IF(L4&gt;=12,"是","否")</f>
        <v>否</v>
      </c>
    </row>
    <row r="5" spans="1:13" x14ac:dyDescent="0.4">
      <c r="A5" s="6">
        <v>3</v>
      </c>
      <c r="B5" s="2" t="s">
        <v>2</v>
      </c>
      <c r="C5" s="2" t="s">
        <v>8</v>
      </c>
      <c r="D5" s="2" t="s">
        <v>9</v>
      </c>
      <c r="E5" s="2"/>
      <c r="F5" s="2"/>
      <c r="G5" s="2"/>
      <c r="H5" s="2"/>
      <c r="I5" s="2"/>
      <c r="J5" s="2"/>
      <c r="K5" s="2"/>
      <c r="L5" s="2">
        <f>SUM(E5:J5)</f>
        <v>0</v>
      </c>
      <c r="M5" s="8" t="str">
        <f t="shared" si="0"/>
        <v>否</v>
      </c>
    </row>
    <row r="6" spans="1:13" x14ac:dyDescent="0.4">
      <c r="A6" s="6">
        <v>4</v>
      </c>
      <c r="B6" s="2" t="s">
        <v>2</v>
      </c>
      <c r="C6" s="2" t="s">
        <v>10</v>
      </c>
      <c r="D6" s="2" t="s">
        <v>11</v>
      </c>
      <c r="E6" s="2"/>
      <c r="F6" s="2"/>
      <c r="G6" s="2"/>
      <c r="H6" s="2"/>
      <c r="I6" s="2"/>
      <c r="J6" s="2"/>
      <c r="K6" s="2"/>
      <c r="L6" s="2">
        <f>SUM(E6:J6)</f>
        <v>0</v>
      </c>
      <c r="M6" s="8" t="str">
        <f t="shared" si="0"/>
        <v>否</v>
      </c>
    </row>
    <row r="7" spans="1:13" x14ac:dyDescent="0.4">
      <c r="A7" s="6">
        <v>5</v>
      </c>
      <c r="B7" s="2" t="s">
        <v>2</v>
      </c>
      <c r="C7" s="2" t="s">
        <v>12</v>
      </c>
      <c r="D7" s="2" t="s">
        <v>13</v>
      </c>
      <c r="E7" s="2"/>
      <c r="F7" s="2"/>
      <c r="G7" s="2"/>
      <c r="H7" s="2"/>
      <c r="I7" s="2"/>
      <c r="J7" s="2"/>
      <c r="K7" s="2"/>
      <c r="L7" s="2">
        <f>SUM(E7:J7)</f>
        <v>0</v>
      </c>
      <c r="M7" s="8" t="str">
        <f t="shared" si="0"/>
        <v>否</v>
      </c>
    </row>
    <row r="8" spans="1:13" x14ac:dyDescent="0.4">
      <c r="A8" s="6">
        <v>6</v>
      </c>
      <c r="B8" s="2" t="s">
        <v>2</v>
      </c>
      <c r="C8" s="2" t="s">
        <v>14</v>
      </c>
      <c r="D8" s="2" t="s">
        <v>15</v>
      </c>
      <c r="E8" s="2"/>
      <c r="F8" s="2"/>
      <c r="G8" s="2"/>
      <c r="H8" s="2"/>
      <c r="I8" s="2"/>
      <c r="J8" s="2"/>
      <c r="K8" s="2"/>
      <c r="L8" s="2">
        <f>SUM(E8:J8)</f>
        <v>0</v>
      </c>
      <c r="M8" s="8" t="str">
        <f t="shared" si="0"/>
        <v>否</v>
      </c>
    </row>
    <row r="9" spans="1:13" x14ac:dyDescent="0.4">
      <c r="A9" s="6">
        <v>7</v>
      </c>
      <c r="B9" s="2" t="s">
        <v>2</v>
      </c>
      <c r="C9" s="2" t="s">
        <v>16</v>
      </c>
      <c r="D9" s="2" t="s">
        <v>17</v>
      </c>
      <c r="E9" s="2"/>
      <c r="F9" s="2"/>
      <c r="G9" s="2"/>
      <c r="H9" s="2"/>
      <c r="I9" s="2"/>
      <c r="J9" s="2"/>
      <c r="K9" s="2"/>
      <c r="L9" s="2">
        <f>SUM(E9:J9)</f>
        <v>0</v>
      </c>
      <c r="M9" s="8" t="str">
        <f t="shared" si="0"/>
        <v>否</v>
      </c>
    </row>
    <row r="10" spans="1:13" x14ac:dyDescent="0.4">
      <c r="A10" s="6">
        <v>8</v>
      </c>
      <c r="B10" s="2" t="s">
        <v>2</v>
      </c>
      <c r="C10" s="2" t="s">
        <v>20</v>
      </c>
      <c r="D10" s="2" t="s">
        <v>21</v>
      </c>
      <c r="E10" s="2"/>
      <c r="F10" s="2"/>
      <c r="G10" s="2"/>
      <c r="H10" s="2"/>
      <c r="I10" s="2"/>
      <c r="J10" s="2"/>
      <c r="K10" s="2"/>
      <c r="L10" s="2">
        <f>SUM(E10:J10)</f>
        <v>0</v>
      </c>
      <c r="M10" s="8" t="str">
        <f t="shared" si="0"/>
        <v>否</v>
      </c>
    </row>
    <row r="11" spans="1:13" x14ac:dyDescent="0.4">
      <c r="A11" s="6">
        <v>9</v>
      </c>
      <c r="B11" s="2" t="s">
        <v>2</v>
      </c>
      <c r="C11" s="2" t="s">
        <v>22</v>
      </c>
      <c r="D11" s="2" t="s">
        <v>23</v>
      </c>
      <c r="E11" s="2"/>
      <c r="F11" s="2"/>
      <c r="G11" s="2"/>
      <c r="H11" s="2"/>
      <c r="I11" s="2"/>
      <c r="J11" s="2"/>
      <c r="K11" s="2"/>
      <c r="L11" s="2">
        <f>SUM(E11:J11)</f>
        <v>0</v>
      </c>
      <c r="M11" s="8" t="str">
        <f t="shared" si="0"/>
        <v>否</v>
      </c>
    </row>
    <row r="12" spans="1:13" x14ac:dyDescent="0.4">
      <c r="A12" s="6">
        <v>11</v>
      </c>
      <c r="B12" s="2" t="s">
        <v>7</v>
      </c>
      <c r="C12" s="2" t="s">
        <v>24</v>
      </c>
      <c r="D12" s="2" t="s">
        <v>25</v>
      </c>
      <c r="E12" s="2"/>
      <c r="F12" s="2"/>
      <c r="G12" s="2"/>
      <c r="H12" s="2"/>
      <c r="I12" s="2"/>
      <c r="J12" s="2"/>
      <c r="K12" s="2"/>
      <c r="L12" s="2">
        <f>SUM(E12:J12)</f>
        <v>0</v>
      </c>
      <c r="M12" s="8" t="str">
        <f t="shared" si="0"/>
        <v>否</v>
      </c>
    </row>
    <row r="13" spans="1:13" x14ac:dyDescent="0.4">
      <c r="A13" s="6">
        <v>12</v>
      </c>
      <c r="B13" s="2" t="s">
        <v>7</v>
      </c>
      <c r="C13" s="2" t="s">
        <v>26</v>
      </c>
      <c r="D13" s="2" t="s">
        <v>27</v>
      </c>
      <c r="E13" s="2"/>
      <c r="F13" s="2"/>
      <c r="G13" s="2"/>
      <c r="H13" s="2"/>
      <c r="I13" s="2"/>
      <c r="J13" s="2"/>
      <c r="K13" s="2"/>
      <c r="L13" s="2">
        <f>SUM(E13:J13)</f>
        <v>0</v>
      </c>
      <c r="M13" s="8" t="str">
        <f t="shared" si="0"/>
        <v>否</v>
      </c>
    </row>
    <row r="14" spans="1:13" x14ac:dyDescent="0.4">
      <c r="A14" s="6">
        <v>13</v>
      </c>
      <c r="B14" s="2" t="s">
        <v>7</v>
      </c>
      <c r="C14" s="2" t="s">
        <v>31</v>
      </c>
      <c r="D14" s="2" t="s">
        <v>32</v>
      </c>
      <c r="E14" s="2"/>
      <c r="F14" s="2"/>
      <c r="G14" s="2"/>
      <c r="H14" s="2"/>
      <c r="I14" s="2"/>
      <c r="J14" s="2"/>
      <c r="K14" s="2"/>
      <c r="L14" s="2">
        <f>SUM(E14:J14)</f>
        <v>0</v>
      </c>
      <c r="M14" s="8" t="str">
        <f t="shared" si="0"/>
        <v>否</v>
      </c>
    </row>
    <row r="15" spans="1:13" x14ac:dyDescent="0.4">
      <c r="A15" s="6">
        <v>14</v>
      </c>
      <c r="B15" s="2" t="s">
        <v>7</v>
      </c>
      <c r="C15" s="2" t="s">
        <v>44</v>
      </c>
      <c r="D15" s="2" t="s">
        <v>47</v>
      </c>
      <c r="E15" s="2"/>
      <c r="F15" s="2"/>
      <c r="G15" s="2"/>
      <c r="H15" s="2"/>
      <c r="I15" s="2"/>
      <c r="J15" s="2"/>
      <c r="K15" s="2"/>
      <c r="L15" s="2">
        <f>SUM(E15:J15)</f>
        <v>0</v>
      </c>
      <c r="M15" s="8" t="str">
        <f t="shared" si="0"/>
        <v>否</v>
      </c>
    </row>
    <row r="16" spans="1:13" x14ac:dyDescent="0.4">
      <c r="A16" s="6">
        <v>15</v>
      </c>
      <c r="B16" s="2" t="s">
        <v>7</v>
      </c>
      <c r="C16" s="2" t="s">
        <v>33</v>
      </c>
      <c r="D16" s="2" t="s">
        <v>34</v>
      </c>
      <c r="E16" s="2"/>
      <c r="F16" s="2"/>
      <c r="G16" s="2"/>
      <c r="H16" s="2"/>
      <c r="I16" s="2"/>
      <c r="J16" s="2"/>
      <c r="K16" s="2"/>
      <c r="L16" s="2">
        <f>SUM(E16:J16)</f>
        <v>0</v>
      </c>
      <c r="M16" s="8" t="str">
        <f t="shared" si="0"/>
        <v>否</v>
      </c>
    </row>
    <row r="17" spans="1:13" x14ac:dyDescent="0.4">
      <c r="A17" s="6">
        <v>16</v>
      </c>
      <c r="B17" s="2" t="s">
        <v>7</v>
      </c>
      <c r="C17" s="2" t="s">
        <v>45</v>
      </c>
      <c r="D17" s="2" t="s">
        <v>48</v>
      </c>
      <c r="E17" s="2"/>
      <c r="F17" s="2"/>
      <c r="G17" s="2"/>
      <c r="H17" s="2"/>
      <c r="I17" s="2"/>
      <c r="J17" s="2"/>
      <c r="K17" s="2"/>
      <c r="L17" s="2">
        <f>SUM(E17:J17)</f>
        <v>0</v>
      </c>
      <c r="M17" s="8" t="str">
        <f t="shared" si="0"/>
        <v>否</v>
      </c>
    </row>
    <row r="18" spans="1:13" x14ac:dyDescent="0.4">
      <c r="A18" s="6">
        <v>17</v>
      </c>
      <c r="B18" s="2" t="s">
        <v>7</v>
      </c>
      <c r="C18" s="2" t="s">
        <v>35</v>
      </c>
      <c r="D18" s="2" t="s">
        <v>36</v>
      </c>
      <c r="E18" s="2"/>
      <c r="F18" s="2"/>
      <c r="G18" s="2"/>
      <c r="H18" s="2"/>
      <c r="I18" s="2"/>
      <c r="J18" s="2"/>
      <c r="K18" s="2"/>
      <c r="L18" s="2">
        <f>SUM(E18:J18)</f>
        <v>0</v>
      </c>
      <c r="M18" s="8" t="str">
        <f t="shared" si="0"/>
        <v>否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7268-B6B4-4545-B8F4-BAA63FFF57C2}">
  <dimension ref="A1:F22"/>
  <sheetViews>
    <sheetView topLeftCell="A9" workbookViewId="0">
      <selection activeCell="C6" sqref="C6:D21"/>
    </sheetView>
  </sheetViews>
  <sheetFormatPr defaultRowHeight="17" x14ac:dyDescent="0.4"/>
  <cols>
    <col min="3" max="3" width="16.7265625" customWidth="1"/>
    <col min="4" max="4" width="16.90625" customWidth="1"/>
  </cols>
  <sheetData>
    <row r="1" spans="1:6" x14ac:dyDescent="0.4">
      <c r="A1" t="s">
        <v>46</v>
      </c>
      <c r="C1" t="s">
        <v>0</v>
      </c>
      <c r="D1" t="s">
        <v>1</v>
      </c>
      <c r="E1" t="s">
        <v>59</v>
      </c>
      <c r="F1" t="s">
        <v>60</v>
      </c>
    </row>
    <row r="2" spans="1:6" x14ac:dyDescent="0.4">
      <c r="A2">
        <v>1</v>
      </c>
      <c r="B2" t="s">
        <v>61</v>
      </c>
      <c r="C2" t="s">
        <v>52</v>
      </c>
      <c r="D2" t="s">
        <v>62</v>
      </c>
      <c r="E2" t="s">
        <v>63</v>
      </c>
      <c r="F2" t="s">
        <v>64</v>
      </c>
    </row>
    <row r="3" spans="1:6" x14ac:dyDescent="0.4">
      <c r="A3">
        <v>2</v>
      </c>
      <c r="B3" t="s">
        <v>61</v>
      </c>
      <c r="C3" t="s">
        <v>53</v>
      </c>
      <c r="D3" t="s">
        <v>65</v>
      </c>
      <c r="E3" t="s">
        <v>66</v>
      </c>
      <c r="F3" t="s">
        <v>67</v>
      </c>
    </row>
    <row r="4" spans="1:6" x14ac:dyDescent="0.4">
      <c r="A4">
        <v>3</v>
      </c>
      <c r="B4" t="s">
        <v>61</v>
      </c>
      <c r="C4" t="s">
        <v>54</v>
      </c>
      <c r="D4" t="s">
        <v>68</v>
      </c>
      <c r="E4" t="s">
        <v>69</v>
      </c>
      <c r="F4" t="s">
        <v>70</v>
      </c>
    </row>
    <row r="5" spans="1:6" x14ac:dyDescent="0.4">
      <c r="A5">
        <v>4</v>
      </c>
      <c r="B5" t="s">
        <v>61</v>
      </c>
      <c r="C5" t="s">
        <v>55</v>
      </c>
      <c r="D5" t="s">
        <v>71</v>
      </c>
      <c r="E5" t="s">
        <v>72</v>
      </c>
      <c r="F5" t="s">
        <v>73</v>
      </c>
    </row>
    <row r="6" spans="1:6" x14ac:dyDescent="0.4">
      <c r="A6">
        <v>5</v>
      </c>
      <c r="B6" t="s">
        <v>2</v>
      </c>
      <c r="C6" t="s">
        <v>3</v>
      </c>
      <c r="D6" t="s">
        <v>4</v>
      </c>
      <c r="E6" t="s">
        <v>74</v>
      </c>
      <c r="F6" t="s">
        <v>75</v>
      </c>
    </row>
    <row r="7" spans="1:6" x14ac:dyDescent="0.4">
      <c r="A7">
        <v>6</v>
      </c>
      <c r="B7" t="s">
        <v>2</v>
      </c>
      <c r="C7" t="s">
        <v>5</v>
      </c>
      <c r="D7" t="s">
        <v>6</v>
      </c>
      <c r="E7" t="s">
        <v>76</v>
      </c>
      <c r="F7" t="s">
        <v>77</v>
      </c>
    </row>
    <row r="8" spans="1:6" x14ac:dyDescent="0.4">
      <c r="A8">
        <v>7</v>
      </c>
      <c r="B8" t="s">
        <v>7</v>
      </c>
      <c r="C8" t="s">
        <v>8</v>
      </c>
      <c r="D8" t="s">
        <v>9</v>
      </c>
      <c r="E8" t="s">
        <v>78</v>
      </c>
      <c r="F8" t="s">
        <v>79</v>
      </c>
    </row>
    <row r="9" spans="1:6" x14ac:dyDescent="0.4">
      <c r="A9">
        <v>8</v>
      </c>
      <c r="B9" t="s">
        <v>7</v>
      </c>
      <c r="C9" t="s">
        <v>10</v>
      </c>
      <c r="D9" t="s">
        <v>11</v>
      </c>
      <c r="E9" t="s">
        <v>80</v>
      </c>
      <c r="F9" t="s">
        <v>81</v>
      </c>
    </row>
    <row r="10" spans="1:6" x14ac:dyDescent="0.4">
      <c r="A10">
        <v>9</v>
      </c>
      <c r="B10" t="s">
        <v>7</v>
      </c>
      <c r="C10" t="s">
        <v>12</v>
      </c>
      <c r="D10" t="s">
        <v>13</v>
      </c>
      <c r="E10" t="s">
        <v>82</v>
      </c>
      <c r="F10" t="s">
        <v>83</v>
      </c>
    </row>
    <row r="11" spans="1:6" x14ac:dyDescent="0.4">
      <c r="A11">
        <v>10</v>
      </c>
      <c r="B11" t="s">
        <v>7</v>
      </c>
      <c r="C11" t="s">
        <v>14</v>
      </c>
      <c r="D11" t="s">
        <v>15</v>
      </c>
      <c r="E11" t="s">
        <v>84</v>
      </c>
      <c r="F11" t="s">
        <v>85</v>
      </c>
    </row>
    <row r="12" spans="1:6" x14ac:dyDescent="0.4">
      <c r="A12">
        <v>11</v>
      </c>
      <c r="B12" t="s">
        <v>7</v>
      </c>
      <c r="C12" t="s">
        <v>16</v>
      </c>
      <c r="D12" t="s">
        <v>17</v>
      </c>
      <c r="E12" t="s">
        <v>86</v>
      </c>
      <c r="F12" t="s">
        <v>87</v>
      </c>
    </row>
    <row r="13" spans="1:6" x14ac:dyDescent="0.4">
      <c r="A13">
        <v>12</v>
      </c>
      <c r="B13" t="s">
        <v>7</v>
      </c>
      <c r="C13" t="s">
        <v>20</v>
      </c>
      <c r="D13" t="s">
        <v>21</v>
      </c>
      <c r="E13" t="s">
        <v>88</v>
      </c>
      <c r="F13" t="s">
        <v>89</v>
      </c>
    </row>
    <row r="14" spans="1:6" x14ac:dyDescent="0.4">
      <c r="A14">
        <v>13</v>
      </c>
      <c r="B14" t="s">
        <v>7</v>
      </c>
      <c r="C14" t="s">
        <v>22</v>
      </c>
      <c r="D14" t="s">
        <v>23</v>
      </c>
      <c r="E14" t="s">
        <v>90</v>
      </c>
      <c r="F14" t="s">
        <v>91</v>
      </c>
    </row>
    <row r="15" spans="1:6" x14ac:dyDescent="0.4">
      <c r="A15">
        <v>14</v>
      </c>
      <c r="B15" t="s">
        <v>7</v>
      </c>
      <c r="C15" t="s">
        <v>24</v>
      </c>
      <c r="D15" t="s">
        <v>25</v>
      </c>
      <c r="E15" t="s">
        <v>92</v>
      </c>
      <c r="F15" t="s">
        <v>93</v>
      </c>
    </row>
    <row r="16" spans="1:6" x14ac:dyDescent="0.4">
      <c r="A16">
        <v>15</v>
      </c>
      <c r="B16" t="s">
        <v>7</v>
      </c>
      <c r="C16" t="s">
        <v>26</v>
      </c>
      <c r="D16" t="s">
        <v>27</v>
      </c>
      <c r="E16" t="s">
        <v>94</v>
      </c>
      <c r="F16" t="s">
        <v>95</v>
      </c>
    </row>
    <row r="17" spans="1:6" x14ac:dyDescent="0.4">
      <c r="A17">
        <v>16</v>
      </c>
      <c r="B17" t="s">
        <v>30</v>
      </c>
      <c r="C17" t="s">
        <v>31</v>
      </c>
      <c r="D17" t="s">
        <v>32</v>
      </c>
      <c r="E17" t="s">
        <v>96</v>
      </c>
      <c r="F17" t="s">
        <v>97</v>
      </c>
    </row>
    <row r="18" spans="1:6" x14ac:dyDescent="0.4">
      <c r="A18">
        <v>17</v>
      </c>
      <c r="B18" t="s">
        <v>30</v>
      </c>
      <c r="C18" t="s">
        <v>44</v>
      </c>
      <c r="D18" t="s">
        <v>47</v>
      </c>
      <c r="E18" t="s">
        <v>98</v>
      </c>
      <c r="F18" t="s">
        <v>99</v>
      </c>
    </row>
    <row r="19" spans="1:6" x14ac:dyDescent="0.4">
      <c r="A19">
        <v>18</v>
      </c>
      <c r="B19" t="s">
        <v>30</v>
      </c>
      <c r="C19" t="s">
        <v>33</v>
      </c>
      <c r="D19" t="s">
        <v>34</v>
      </c>
      <c r="E19" t="s">
        <v>100</v>
      </c>
      <c r="F19" t="s">
        <v>101</v>
      </c>
    </row>
    <row r="20" spans="1:6" x14ac:dyDescent="0.4">
      <c r="A20">
        <v>19</v>
      </c>
      <c r="B20" t="s">
        <v>30</v>
      </c>
      <c r="C20" t="s">
        <v>45</v>
      </c>
      <c r="D20" t="s">
        <v>48</v>
      </c>
      <c r="E20" t="s">
        <v>102</v>
      </c>
      <c r="F20" t="s">
        <v>103</v>
      </c>
    </row>
    <row r="21" spans="1:6" x14ac:dyDescent="0.4">
      <c r="A21">
        <v>20</v>
      </c>
      <c r="B21" t="s">
        <v>30</v>
      </c>
      <c r="C21" t="s">
        <v>35</v>
      </c>
      <c r="D21" t="s">
        <v>36</v>
      </c>
      <c r="E21" t="s">
        <v>104</v>
      </c>
      <c r="F21" t="s">
        <v>105</v>
      </c>
    </row>
    <row r="22" spans="1:6" x14ac:dyDescent="0.4">
      <c r="A22">
        <v>20</v>
      </c>
      <c r="B22" t="s">
        <v>35</v>
      </c>
      <c r="C22" t="s">
        <v>58</v>
      </c>
      <c r="D22" t="s">
        <v>56</v>
      </c>
      <c r="E22" t="s">
        <v>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3881-160D-4E71-84C0-16AB5AFD470C}">
  <dimension ref="A1:F19"/>
  <sheetViews>
    <sheetView topLeftCell="A7" workbookViewId="0">
      <selection activeCell="E4" sqref="E4"/>
    </sheetView>
  </sheetViews>
  <sheetFormatPr defaultRowHeight="17" x14ac:dyDescent="0.4"/>
  <sheetData>
    <row r="1" spans="1:6" x14ac:dyDescent="0.4">
      <c r="A1" s="2" t="s">
        <v>46</v>
      </c>
      <c r="C1" t="s">
        <v>0</v>
      </c>
      <c r="D1" t="s">
        <v>1</v>
      </c>
    </row>
    <row r="2" spans="1:6" x14ac:dyDescent="0.4">
      <c r="A2" s="2">
        <v>1</v>
      </c>
      <c r="B2" t="s">
        <v>49</v>
      </c>
      <c r="C2" t="s">
        <v>3</v>
      </c>
      <c r="D2" t="s">
        <v>4</v>
      </c>
      <c r="E2" t="e">
        <f>VLOOKUP(D2,#REF!,1,FALSE)</f>
        <v>#REF!</v>
      </c>
      <c r="F2" t="str">
        <f>VLOOKUP(D2,工作表2!A$1:A$12,1,FALSE)</f>
        <v>楊紹緯</v>
      </c>
    </row>
    <row r="3" spans="1:6" x14ac:dyDescent="0.4">
      <c r="A3" s="2">
        <v>2</v>
      </c>
      <c r="B3" t="s">
        <v>49</v>
      </c>
      <c r="C3" t="s">
        <v>5</v>
      </c>
      <c r="D3" t="s">
        <v>6</v>
      </c>
      <c r="E3" t="e">
        <f>VLOOKUP(D3,#REF!,1,FALSE)</f>
        <v>#REF!</v>
      </c>
      <c r="F3" t="str">
        <f>VLOOKUP(D3,工作表2!A$1:A$12,1,FALSE)</f>
        <v>劉翰襄</v>
      </c>
    </row>
    <row r="4" spans="1:6" x14ac:dyDescent="0.4">
      <c r="A4" s="2">
        <v>3</v>
      </c>
      <c r="B4" t="s">
        <v>50</v>
      </c>
      <c r="C4" t="s">
        <v>8</v>
      </c>
      <c r="D4" t="s">
        <v>9</v>
      </c>
      <c r="E4" t="e">
        <f>VLOOKUP(D4,#REF!,1,FALSE)</f>
        <v>#REF!</v>
      </c>
      <c r="F4" t="str">
        <f>VLOOKUP(D4,工作表2!A$1:A$12,1,FALSE)</f>
        <v>陳宥叡</v>
      </c>
    </row>
    <row r="5" spans="1:6" x14ac:dyDescent="0.4">
      <c r="A5" s="2">
        <v>4</v>
      </c>
      <c r="B5" t="s">
        <v>50</v>
      </c>
      <c r="C5" t="s">
        <v>10</v>
      </c>
      <c r="D5" t="s">
        <v>11</v>
      </c>
      <c r="E5" t="e">
        <f>VLOOKUP(D5,#REF!,1,FALSE)</f>
        <v>#REF!</v>
      </c>
      <c r="F5" t="str">
        <f>VLOOKUP(D5,工作表2!A$1:A$12,1,FALSE)</f>
        <v>林士凱</v>
      </c>
    </row>
    <row r="6" spans="1:6" x14ac:dyDescent="0.4">
      <c r="A6" s="2">
        <v>5</v>
      </c>
      <c r="B6" t="s">
        <v>50</v>
      </c>
      <c r="C6" t="s">
        <v>12</v>
      </c>
      <c r="D6" t="s">
        <v>13</v>
      </c>
      <c r="E6" t="e">
        <f>VLOOKUP(D6,#REF!,1,FALSE)</f>
        <v>#REF!</v>
      </c>
      <c r="F6" t="str">
        <f>VLOOKUP(D6,工作表2!A$1:A$12,1,FALSE)</f>
        <v>徐瑋柏</v>
      </c>
    </row>
    <row r="7" spans="1:6" x14ac:dyDescent="0.4">
      <c r="A7" s="2">
        <v>6</v>
      </c>
      <c r="B7" t="s">
        <v>50</v>
      </c>
      <c r="C7" t="s">
        <v>14</v>
      </c>
      <c r="D7" t="s">
        <v>15</v>
      </c>
      <c r="E7" t="e">
        <f>VLOOKUP(D7,#REF!,1,FALSE)</f>
        <v>#REF!</v>
      </c>
      <c r="F7" t="str">
        <f>VLOOKUP(D7,工作表2!A$1:A$12,1,FALSE)</f>
        <v>黃冠綸</v>
      </c>
    </row>
    <row r="8" spans="1:6" x14ac:dyDescent="0.4">
      <c r="A8" s="2">
        <v>7</v>
      </c>
      <c r="B8" t="s">
        <v>50</v>
      </c>
      <c r="C8" t="s">
        <v>16</v>
      </c>
      <c r="D8" t="s">
        <v>17</v>
      </c>
      <c r="E8" t="e">
        <f>VLOOKUP(D8,#REF!,1,FALSE)</f>
        <v>#REF!</v>
      </c>
      <c r="F8" t="str">
        <f>VLOOKUP(D8,工作表2!A$1:A$12,1,FALSE)</f>
        <v>呂佩恩</v>
      </c>
    </row>
    <row r="9" spans="1:6" x14ac:dyDescent="0.4">
      <c r="A9" s="2">
        <v>8</v>
      </c>
      <c r="B9" t="s">
        <v>50</v>
      </c>
      <c r="C9" t="s">
        <v>18</v>
      </c>
      <c r="D9" t="s">
        <v>19</v>
      </c>
      <c r="E9" s="11" t="e">
        <f>VLOOKUP(D9,#REF!,1,FALSE)</f>
        <v>#REF!</v>
      </c>
      <c r="F9" t="e">
        <f>VLOOKUP(D9,工作表2!A$1:A$12,1,FALSE)</f>
        <v>#N/A</v>
      </c>
    </row>
    <row r="10" spans="1:6" x14ac:dyDescent="0.4">
      <c r="A10" s="2">
        <v>9</v>
      </c>
      <c r="B10" t="s">
        <v>50</v>
      </c>
      <c r="C10" t="s">
        <v>20</v>
      </c>
      <c r="D10" t="s">
        <v>21</v>
      </c>
      <c r="E10" t="e">
        <f>VLOOKUP(D10,#REF!,1,FALSE)</f>
        <v>#REF!</v>
      </c>
      <c r="F10" t="str">
        <f>VLOOKUP(D10,工作表2!A$1:A$12,1,FALSE)</f>
        <v>莊隆盛</v>
      </c>
    </row>
    <row r="11" spans="1:6" x14ac:dyDescent="0.4">
      <c r="A11" s="2">
        <v>10</v>
      </c>
      <c r="B11" t="s">
        <v>50</v>
      </c>
      <c r="C11" t="s">
        <v>22</v>
      </c>
      <c r="D11" t="s">
        <v>23</v>
      </c>
      <c r="E11" t="e">
        <f>VLOOKUP(D11,#REF!,1,FALSE)</f>
        <v>#REF!</v>
      </c>
      <c r="F11" t="str">
        <f>VLOOKUP(D11,工作表2!A$1:A$12,1,FALSE)</f>
        <v>劉家暘</v>
      </c>
    </row>
    <row r="12" spans="1:6" x14ac:dyDescent="0.4">
      <c r="A12" s="2">
        <v>11</v>
      </c>
      <c r="B12" t="s">
        <v>50</v>
      </c>
      <c r="C12" t="s">
        <v>24</v>
      </c>
      <c r="D12" t="s">
        <v>25</v>
      </c>
      <c r="E12" t="e">
        <f>VLOOKUP(D12,#REF!,1,FALSE)</f>
        <v>#REF!</v>
      </c>
      <c r="F12" t="str">
        <f>VLOOKUP(D12,工作表2!A$1:A$12,1,FALSE)</f>
        <v>李品鋒</v>
      </c>
    </row>
    <row r="13" spans="1:6" x14ac:dyDescent="0.4">
      <c r="A13" s="2">
        <v>12</v>
      </c>
      <c r="B13" t="s">
        <v>50</v>
      </c>
      <c r="C13" t="s">
        <v>26</v>
      </c>
      <c r="D13" t="s">
        <v>27</v>
      </c>
      <c r="E13" t="e">
        <f>VLOOKUP(D13,#REF!,1,FALSE)</f>
        <v>#REF!</v>
      </c>
      <c r="F13" t="e">
        <f>VLOOKUP(D13,工作表2!A$1:A$12,1,FALSE)</f>
        <v>#N/A</v>
      </c>
    </row>
    <row r="14" spans="1:6" x14ac:dyDescent="0.4">
      <c r="A14" s="2">
        <v>13</v>
      </c>
      <c r="B14" t="s">
        <v>50</v>
      </c>
      <c r="C14" t="s">
        <v>28</v>
      </c>
      <c r="D14" t="s">
        <v>29</v>
      </c>
      <c r="E14" t="e">
        <f>VLOOKUP(D14,#REF!,1,FALSE)</f>
        <v>#REF!</v>
      </c>
      <c r="F14" t="e">
        <f>VLOOKUP(D14,工作表2!A$1:A$12,1,FALSE)</f>
        <v>#N/A</v>
      </c>
    </row>
    <row r="15" spans="1:6" x14ac:dyDescent="0.4">
      <c r="A15" s="2">
        <v>14</v>
      </c>
      <c r="B15" t="s">
        <v>51</v>
      </c>
      <c r="C15" t="s">
        <v>31</v>
      </c>
      <c r="D15" t="s">
        <v>32</v>
      </c>
      <c r="E15" s="11" t="e">
        <f>VLOOKUP(D15,#REF!,1,FALSE)</f>
        <v>#REF!</v>
      </c>
      <c r="F15" t="e">
        <f>VLOOKUP(D15,工作表2!A$1:A$12,1,FALSE)</f>
        <v>#N/A</v>
      </c>
    </row>
    <row r="16" spans="1:6" x14ac:dyDescent="0.4">
      <c r="A16" s="2">
        <v>15</v>
      </c>
      <c r="B16" t="s">
        <v>51</v>
      </c>
      <c r="C16" t="s">
        <v>44</v>
      </c>
      <c r="D16" t="s">
        <v>47</v>
      </c>
      <c r="E16" t="e">
        <f>VLOOKUP(D16,#REF!,1,FALSE)</f>
        <v>#REF!</v>
      </c>
      <c r="F16" t="e">
        <f>VLOOKUP(D16,工作表2!A$1:A$12,1,FALSE)</f>
        <v>#N/A</v>
      </c>
    </row>
    <row r="17" spans="1:6" x14ac:dyDescent="0.4">
      <c r="A17" s="2">
        <v>16</v>
      </c>
      <c r="B17" t="s">
        <v>51</v>
      </c>
      <c r="C17" t="s">
        <v>33</v>
      </c>
      <c r="D17" t="s">
        <v>34</v>
      </c>
      <c r="E17" t="e">
        <f>VLOOKUP(D17,#REF!,1,FALSE)</f>
        <v>#REF!</v>
      </c>
      <c r="F17" t="str">
        <f>VLOOKUP(D17,工作表2!A$1:A$12,1,FALSE)</f>
        <v>陳伃豊</v>
      </c>
    </row>
    <row r="18" spans="1:6" x14ac:dyDescent="0.4">
      <c r="A18" s="2">
        <v>17</v>
      </c>
      <c r="B18" t="s">
        <v>51</v>
      </c>
      <c r="C18" t="s">
        <v>45</v>
      </c>
      <c r="D18" t="s">
        <v>48</v>
      </c>
      <c r="E18" t="e">
        <f>VLOOKUP(D18,#REF!,1,FALSE)</f>
        <v>#REF!</v>
      </c>
      <c r="F18" t="e">
        <f>VLOOKUP(D18,工作表2!A$1:A$12,1,FALSE)</f>
        <v>#N/A</v>
      </c>
    </row>
    <row r="19" spans="1:6" x14ac:dyDescent="0.4">
      <c r="A19" s="2">
        <v>18</v>
      </c>
      <c r="B19" t="s">
        <v>51</v>
      </c>
      <c r="C19" t="s">
        <v>35</v>
      </c>
      <c r="D19" t="s">
        <v>36</v>
      </c>
      <c r="E19" t="e">
        <f>VLOOKUP(D19,#REF!,1,FALSE)</f>
        <v>#REF!</v>
      </c>
      <c r="F19" t="str">
        <f>VLOOKUP(D19,工作表2!A$1:A$12,1,FALSE)</f>
        <v>司毓文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76E0-3413-41BC-B7CB-AD9178A39AD4}">
  <dimension ref="A1:A12"/>
  <sheetViews>
    <sheetView workbookViewId="0">
      <selection activeCell="I10" sqref="I10"/>
    </sheetView>
  </sheetViews>
  <sheetFormatPr defaultRowHeight="17" x14ac:dyDescent="0.4"/>
  <sheetData>
    <row r="1" spans="1:1" x14ac:dyDescent="0.4">
      <c r="A1" t="s">
        <v>36</v>
      </c>
    </row>
    <row r="2" spans="1:1" x14ac:dyDescent="0.4">
      <c r="A2" t="s">
        <v>17</v>
      </c>
    </row>
    <row r="3" spans="1:1" x14ac:dyDescent="0.4">
      <c r="A3" t="s">
        <v>25</v>
      </c>
    </row>
    <row r="4" spans="1:1" x14ac:dyDescent="0.4">
      <c r="A4" t="s">
        <v>11</v>
      </c>
    </row>
    <row r="5" spans="1:1" x14ac:dyDescent="0.4">
      <c r="A5" t="s">
        <v>13</v>
      </c>
    </row>
    <row r="6" spans="1:1" x14ac:dyDescent="0.4">
      <c r="A6" t="s">
        <v>21</v>
      </c>
    </row>
    <row r="7" spans="1:1" x14ac:dyDescent="0.4">
      <c r="A7" t="s">
        <v>34</v>
      </c>
    </row>
    <row r="8" spans="1:1" x14ac:dyDescent="0.4">
      <c r="A8" t="s">
        <v>9</v>
      </c>
    </row>
    <row r="9" spans="1:1" x14ac:dyDescent="0.4">
      <c r="A9" t="s">
        <v>15</v>
      </c>
    </row>
    <row r="10" spans="1:1" x14ac:dyDescent="0.4">
      <c r="A10" t="s">
        <v>4</v>
      </c>
    </row>
    <row r="11" spans="1:1" x14ac:dyDescent="0.4">
      <c r="A11" t="s">
        <v>23</v>
      </c>
    </row>
    <row r="12" spans="1:1" x14ac:dyDescent="0.4">
      <c r="A12" t="s">
        <v>6</v>
      </c>
    </row>
  </sheetData>
  <sortState xmlns:xlrd2="http://schemas.microsoft.com/office/spreadsheetml/2017/richdata2" ref="A1:A12">
    <sortCondition ref="A3:A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工作表4</vt:lpstr>
      <vt:lpstr>工作表3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王福星</dc:creator>
  <cp:lastModifiedBy>王福星</cp:lastModifiedBy>
  <dcterms:created xsi:type="dcterms:W3CDTF">2025-09-29T02:43:42Z</dcterms:created>
  <dcterms:modified xsi:type="dcterms:W3CDTF">2026-03-02T11:13:31Z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c31359-ecb0-4331-ac49-239bee8da37f_Enabled">
    <vt:lpwstr>true</vt:lpwstr>
  </property>
  <property fmtid="{D5CDD505-2E9C-101B-9397-08002B2CF9AE}" pid="3" name="MSIP_Label_dfc31359-ecb0-4331-ac49-239bee8da37f_SetDate">
    <vt:lpwstr>2025-09-29T02:44:01Z</vt:lpwstr>
  </property>
  <property fmtid="{D5CDD505-2E9C-101B-9397-08002B2CF9AE}" pid="4" name="MSIP_Label_dfc31359-ecb0-4331-ac49-239bee8da37f_Method">
    <vt:lpwstr>Standard</vt:lpwstr>
  </property>
  <property fmtid="{D5CDD505-2E9C-101B-9397-08002B2CF9AE}" pid="5" name="MSIP_Label_dfc31359-ecb0-4331-ac49-239bee8da37f_Name">
    <vt:lpwstr>defa4170-0d19-0005-0004-bc88714345d2</vt:lpwstr>
  </property>
  <property fmtid="{D5CDD505-2E9C-101B-9397-08002B2CF9AE}" pid="6" name="MSIP_Label_dfc31359-ecb0-4331-ac49-239bee8da37f_SiteId">
    <vt:lpwstr>9e0dd6b1-99a5-4858-ba44-ed1f82d4cf6a</vt:lpwstr>
  </property>
  <property fmtid="{D5CDD505-2E9C-101B-9397-08002B2CF9AE}" pid="7" name="MSIP_Label_dfc31359-ecb0-4331-ac49-239bee8da37f_ActionId">
    <vt:lpwstr>9ca65ef7-3f7c-4e50-a7fd-aca0450c623c</vt:lpwstr>
  </property>
  <property fmtid="{D5CDD505-2E9C-101B-9397-08002B2CF9AE}" pid="8" name="MSIP_Label_dfc31359-ecb0-4331-ac49-239bee8da37f_ContentBits">
    <vt:lpwstr>0</vt:lpwstr>
  </property>
  <property fmtid="{D5CDD505-2E9C-101B-9397-08002B2CF9AE}" pid="9" name="MSIP_Label_dfc31359-ecb0-4331-ac49-239bee8da37f_Tag">
    <vt:lpwstr>10, 3, 0, 1</vt:lpwstr>
  </property>
</Properties>
</file>